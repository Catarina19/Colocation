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 hidePivotFieldList="1"/>
  <xr:revisionPtr revIDLastSave="0" documentId="13_ncr:1_{AC428FDF-BB0B-4259-8C40-A541AAAD5101}" xr6:coauthVersionLast="31" xr6:coauthVersionMax="31" xr10:uidLastSave="{00000000-0000-0000-0000-000000000000}"/>
  <bookViews>
    <workbookView xWindow="0" yWindow="465" windowWidth="28800" windowHeight="17535" xr2:uid="{00000000-000D-0000-FFFF-FFFF00000000}"/>
  </bookViews>
  <sheets>
    <sheet name="Journal" sheetId="1" r:id="rId1"/>
    <sheet name="Totaux" sheetId="4" r:id="rId2"/>
    <sheet name="Paramètres" sheetId="2" r:id="rId3"/>
  </sheets>
  <calcPr calcId="179017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3" i="1" l="1"/>
  <c r="D33" i="1"/>
  <c r="B32" i="1"/>
  <c r="D32" i="1"/>
  <c r="B31" i="1"/>
  <c r="D31" i="1"/>
  <c r="B30" i="1"/>
  <c r="D30" i="1"/>
  <c r="B29" i="1"/>
  <c r="D29" i="1"/>
  <c r="B28" i="1"/>
  <c r="D28" i="1"/>
  <c r="B27" i="1"/>
  <c r="D27" i="1"/>
  <c r="B26" i="1"/>
  <c r="D26" i="1"/>
  <c r="B25" i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<sst xmlns="http://schemas.openxmlformats.org/spreadsheetml/2006/main" count="87" uniqueCount="52">
  <si>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</si>
  <si>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</si>
  <si>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</si>
  <si>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</si>
  <si>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</si>
  <si>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</si>
  <si>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</si>
  <si>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</si>
  <si>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</si>
  <si>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</si>
  <si>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</si>
  <si>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</si>
  <si>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</si>
  <si>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</si>
  <si>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</si>
  <si>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</si>
  <si>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</si>
  <si>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</si>
  <si>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</si>
  <si>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</si>
  <si>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</si>
  <si>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</si>
  <si>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</si>
  <si>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</si>
  <si>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</si>
  <si>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GitHub, MCD</t>
  </si>
  <si>
    <t>Modification totale des scénarios et des maquettes</t>
  </si>
  <si>
    <t>Début de mise à jour des Uses Cases et création d'un meilleur répertoire sur GitHub</t>
  </si>
  <si>
    <t>Mise à jour des scénarios (colonne particularités)</t>
  </si>
  <si>
    <t>Finition du dossier de projet</t>
  </si>
  <si>
    <t>Ecriture des journaux de travail</t>
  </si>
  <si>
    <t>Début de programmation</t>
  </si>
  <si>
    <t>Configuration de l'espace de travail</t>
  </si>
  <si>
    <t>Début de création des pages vue_appartement et vue_ajouter</t>
  </si>
  <si>
    <t>Programmation de la vue des appartments</t>
  </si>
  <si>
    <t>Démo des fonctions inscription et login</t>
  </si>
  <si>
    <t>Il nous faut corriger quelques bug : insertion avec double email, redirection vers login après inscription, l'affiche du nom/prénom après s'être log.</t>
  </si>
  <si>
    <t>Finition de l'ajout d'appartments et correction de l'afffchage du nom/prénom après connexion.</t>
  </si>
  <si>
    <t>Programmation des filtres</t>
  </si>
  <si>
    <t>pas encore fini</t>
  </si>
  <si>
    <t>Finition des filtres</t>
  </si>
  <si>
    <t>Finition de détails pour la démo</t>
  </si>
  <si>
    <t>Démo pour le sprint 2 et organisation du sprint 3</t>
  </si>
  <si>
    <t xml:space="preserve">Il faut ajouter les champs tel et naissance de profil, le double email doit être corrigé, les images pour les appartements et le filtre ville </t>
  </si>
  <si>
    <t>Répartition du travail pour le sprint 3</t>
  </si>
  <si>
    <t>Je fait : modifier, supprimer, bug double email et finition de appartement</t>
  </si>
  <si>
    <t>Début de programmation de la modification de fichier et de la sélection de ville et/ou village</t>
  </si>
  <si>
    <t>Programmation d'une fonction dans ajouter qui permet de choisir si l'on habite dans une ville/village</t>
  </si>
  <si>
    <t>Création de la fonction de modification</t>
  </si>
  <si>
    <t>Création de la fonction de suppression</t>
  </si>
  <si>
    <t>la modification et la suppression ne marchent plus vraiment</t>
  </si>
  <si>
    <t>Correction du problème de suppression/modification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</si>
</sst>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64.650174537041" createdVersion="4" refreshedVersion="6" minRefreshableVersion="3" recordCount="1" xr:uid="{00000000-000A-0000-FFFF-FFFF00000000}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J33"/>
  <sheetViews>
    <sheetView tabSelected="1" topLeftCell="A21" workbookViewId="0">
      <selection activeCell="A34" sqref="A34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25</v>
      </c>
      <c r="G12" s="10"/>
      <c r="J12" s="11"/>
    </row>
    <row r="13" spans="1:10" x14ac:dyDescent="0.25">
      <c r="A13" s="17">
        <v>43158</v>
      </c>
      <c r="B13" s="14">
        <f t="shared" ref="B13" si="22">WEEKNUM(A13)</f>
        <v>9</v>
      </c>
      <c r="C13" s="23">
        <v>9</v>
      </c>
      <c r="D13" s="20">
        <f t="shared" ref="D13" si="23">C13/4</f>
        <v>2.25</v>
      </c>
      <c r="E13" s="9" t="s">
        <v>9</v>
      </c>
      <c r="F13" s="10" t="s">
        <v>26</v>
      </c>
      <c r="G13" s="10"/>
      <c r="J13" s="11"/>
    </row>
    <row r="14" spans="1:10" x14ac:dyDescent="0.25">
      <c r="A14" s="17">
        <v>43160</v>
      </c>
      <c r="B14" s="14">
        <f t="shared" ref="B14" si="24">WEEKNUM(A14)</f>
        <v>9</v>
      </c>
      <c r="C14" s="23">
        <v>6</v>
      </c>
      <c r="D14" s="20">
        <f t="shared" ref="D14" si="25">C14/4</f>
        <v>1.5</v>
      </c>
      <c r="E14" s="9" t="s">
        <v>9</v>
      </c>
      <c r="F14" s="10" t="s">
        <v>27</v>
      </c>
      <c r="G14" s="10"/>
      <c r="J14" s="11"/>
    </row>
    <row r="15" spans="1:10" x14ac:dyDescent="0.25">
      <c r="A15" s="17">
        <v>43164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9</v>
      </c>
      <c r="F15" s="10" t="s">
        <v>28</v>
      </c>
      <c r="G15" s="10"/>
      <c r="J15" s="11"/>
    </row>
    <row r="16" spans="1:10" x14ac:dyDescent="0.25">
      <c r="A16" s="17">
        <v>43165</v>
      </c>
      <c r="B16" s="14">
        <f t="shared" ref="B16" si="28">WEEKNUM(A16)</f>
        <v>10</v>
      </c>
      <c r="C16" s="23">
        <v>9</v>
      </c>
      <c r="D16" s="20">
        <f t="shared" ref="D16" si="29">C16/4</f>
        <v>2.25</v>
      </c>
      <c r="E16" s="9" t="s">
        <v>9</v>
      </c>
      <c r="F16" s="10" t="s">
        <v>29</v>
      </c>
      <c r="G16" s="10"/>
      <c r="J16" s="11"/>
    </row>
    <row r="17" spans="1:10" x14ac:dyDescent="0.25">
      <c r="A17" s="17">
        <v>43167</v>
      </c>
      <c r="B17" s="14">
        <f t="shared" ref="B17" si="30">WEEKNUM(A17)</f>
        <v>10</v>
      </c>
      <c r="C17" s="23">
        <v>6</v>
      </c>
      <c r="D17" s="20">
        <f t="shared" ref="D17" si="31">C17/4</f>
        <v>1.5</v>
      </c>
      <c r="E17" s="9" t="s">
        <v>9</v>
      </c>
      <c r="F17" s="10" t="s">
        <v>30</v>
      </c>
      <c r="G17" s="10"/>
      <c r="J17" s="11"/>
    </row>
    <row r="18" spans="1:10" x14ac:dyDescent="0.25">
      <c r="A18" s="17">
        <v>43171</v>
      </c>
      <c r="B18" s="14">
        <f t="shared" ref="B18" si="32">WEEKNUM(A18)</f>
        <v>11</v>
      </c>
      <c r="C18" s="23">
        <v>3</v>
      </c>
      <c r="D18" s="20">
        <f t="shared" ref="D18" si="33">C18/4</f>
        <v>0.75</v>
      </c>
      <c r="E18" s="9" t="s">
        <v>7</v>
      </c>
      <c r="F18" s="10" t="s">
        <v>31</v>
      </c>
      <c r="G18" s="10"/>
      <c r="J18" s="11"/>
    </row>
    <row r="19" spans="1:10" x14ac:dyDescent="0.25">
      <c r="A19" s="17">
        <v>43171</v>
      </c>
      <c r="B19" s="14">
        <f t="shared" ref="B19" si="34">WEEKNUM(A19)</f>
        <v>11</v>
      </c>
      <c r="C19" s="23">
        <v>3</v>
      </c>
      <c r="D19" s="20">
        <f t="shared" ref="D19" si="35">C19/4</f>
        <v>0.75</v>
      </c>
      <c r="E19" s="9" t="s">
        <v>7</v>
      </c>
      <c r="F19" s="10" t="s">
        <v>32</v>
      </c>
      <c r="G19" s="10"/>
      <c r="J19" s="11"/>
    </row>
    <row r="20" spans="1:10" x14ac:dyDescent="0.25">
      <c r="A20" s="17">
        <v>43172</v>
      </c>
      <c r="B20" s="14">
        <f t="shared" ref="B20" si="36">WEEKNUM(A20)</f>
        <v>11</v>
      </c>
      <c r="C20" s="23">
        <v>9</v>
      </c>
      <c r="D20" s="20">
        <f t="shared" ref="D20" si="37">C20/4</f>
        <v>2.25</v>
      </c>
      <c r="E20" s="9" t="s">
        <v>7</v>
      </c>
      <c r="F20" s="10" t="s">
        <v>33</v>
      </c>
      <c r="G20" s="10"/>
      <c r="J20" s="11"/>
    </row>
    <row r="21" spans="1:10" x14ac:dyDescent="0.25">
      <c r="A21" s="17">
        <v>43174</v>
      </c>
      <c r="B21" s="14">
        <f t="shared" ref="B21" si="38">WEEKNUM(A21)</f>
        <v>11</v>
      </c>
      <c r="C21" s="23">
        <v>6</v>
      </c>
      <c r="D21" s="20">
        <f t="shared" ref="D21" si="39">C21/4</f>
        <v>1.5</v>
      </c>
      <c r="E21" s="9" t="s">
        <v>7</v>
      </c>
      <c r="F21" s="10" t="s">
        <v>34</v>
      </c>
      <c r="G21" s="10"/>
      <c r="J21" s="11"/>
    </row>
    <row r="22" spans="1:10" ht="30" x14ac:dyDescent="0.25">
      <c r="A22" s="17">
        <v>43178</v>
      </c>
      <c r="B22" s="14">
        <f t="shared" ref="B22" si="40">WEEKNUM(A22)</f>
        <v>12</v>
      </c>
      <c r="C22" s="23">
        <v>7</v>
      </c>
      <c r="D22" s="20">
        <f t="shared" ref="D22" si="41">C22/4</f>
        <v>1.75</v>
      </c>
      <c r="E22" s="9" t="s">
        <v>6</v>
      </c>
      <c r="F22" s="10" t="s">
        <v>35</v>
      </c>
      <c r="G22" s="10" t="s">
        <v>36</v>
      </c>
      <c r="J22" s="11"/>
    </row>
    <row r="23" spans="1:10" ht="12.75" customHeight="1" x14ac:dyDescent="0.25">
      <c r="A23" s="17">
        <v>43179</v>
      </c>
      <c r="B23" s="14">
        <f t="shared" ref="B23" si="42">WEEKNUM(A23)</f>
        <v>12</v>
      </c>
      <c r="C23" s="23">
        <v>9</v>
      </c>
      <c r="D23" s="20">
        <f t="shared" ref="D23" si="43">C23/4</f>
        <v>2.25</v>
      </c>
      <c r="E23" s="9" t="s">
        <v>7</v>
      </c>
      <c r="F23" s="10" t="s">
        <v>37</v>
      </c>
      <c r="G23" s="10"/>
      <c r="J23" s="11"/>
    </row>
    <row r="24" spans="1:10" ht="17.25" customHeight="1" x14ac:dyDescent="0.25">
      <c r="A24" s="17">
        <v>43181</v>
      </c>
      <c r="B24" s="14">
        <f t="shared" ref="B24" si="44">WEEKNUM(A24)</f>
        <v>12</v>
      </c>
      <c r="C24" s="23">
        <v>6</v>
      </c>
      <c r="D24" s="20">
        <f t="shared" ref="D24" si="45">C24/4</f>
        <v>1.5</v>
      </c>
      <c r="E24" s="9" t="s">
        <v>7</v>
      </c>
      <c r="F24" s="10" t="s">
        <v>38</v>
      </c>
      <c r="G24" s="10" t="s">
        <v>39</v>
      </c>
      <c r="J24" s="11"/>
    </row>
    <row r="25" spans="1:10" ht="17.25" customHeight="1" x14ac:dyDescent="0.25">
      <c r="A25" s="17">
        <v>43184</v>
      </c>
      <c r="B25" s="14">
        <f t="shared" ref="B25" si="46">WEEKNUM(A25)</f>
        <v>13</v>
      </c>
      <c r="C25" s="23">
        <v>3</v>
      </c>
      <c r="D25" s="20">
        <f t="shared" ref="D25" si="47">C25/4</f>
        <v>0.75</v>
      </c>
      <c r="E25" s="9" t="s">
        <v>7</v>
      </c>
      <c r="F25" s="10" t="s">
        <v>40</v>
      </c>
      <c r="G25" s="10"/>
      <c r="J25" s="11"/>
    </row>
    <row r="26" spans="1:10" ht="17.25" customHeight="1" x14ac:dyDescent="0.25">
      <c r="A26" s="17">
        <v>43185</v>
      </c>
      <c r="B26" s="14">
        <f t="shared" ref="B26" si="48">WEEKNUM(A26)</f>
        <v>13</v>
      </c>
      <c r="C26" s="23">
        <v>3</v>
      </c>
      <c r="D26" s="20">
        <f t="shared" ref="D26" si="49">C26/4</f>
        <v>0.75</v>
      </c>
      <c r="E26" s="9" t="s">
        <v>7</v>
      </c>
      <c r="F26" s="10" t="s">
        <v>41</v>
      </c>
      <c r="G26" s="10"/>
      <c r="J26" s="11"/>
    </row>
    <row r="27" spans="1:10" ht="17.25" customHeight="1" x14ac:dyDescent="0.25">
      <c r="A27" s="17">
        <v>43185</v>
      </c>
      <c r="B27" s="14">
        <f t="shared" ref="B27" si="50">WEEKNUM(A27)</f>
        <v>13</v>
      </c>
      <c r="C27" s="23">
        <v>2</v>
      </c>
      <c r="D27" s="20">
        <f t="shared" ref="D27" si="51">C27/4</f>
        <v>0.5</v>
      </c>
      <c r="E27" s="9" t="s">
        <v>6</v>
      </c>
      <c r="F27" s="10" t="s">
        <v>42</v>
      </c>
      <c r="G27" s="10" t="s">
        <v>43</v>
      </c>
      <c r="J27" s="11"/>
    </row>
    <row r="28" spans="1:10" ht="17.25" customHeight="1" x14ac:dyDescent="0.25">
      <c r="A28" s="17">
        <v>43185</v>
      </c>
      <c r="B28" s="14">
        <f t="shared" ref="B28" si="52">WEEKNUM(A28)</f>
        <v>13</v>
      </c>
      <c r="C28" s="23">
        <v>1</v>
      </c>
      <c r="D28" s="20">
        <f t="shared" ref="D28" si="53">C28/4</f>
        <v>0.25</v>
      </c>
      <c r="E28" s="9" t="s">
        <v>6</v>
      </c>
      <c r="F28" s="10" t="s">
        <v>44</v>
      </c>
      <c r="G28" s="10" t="s">
        <v>45</v>
      </c>
      <c r="J28" s="11"/>
    </row>
    <row r="29" spans="1:10" ht="17.25" customHeight="1" x14ac:dyDescent="0.25">
      <c r="A29" s="17">
        <v>43186</v>
      </c>
      <c r="B29" s="14">
        <f t="shared" ref="B29" si="54">WEEKNUM(A29)</f>
        <v>13</v>
      </c>
      <c r="C29" s="23">
        <v>9</v>
      </c>
      <c r="D29" s="20">
        <f t="shared" ref="D29" si="55">C29/4</f>
        <v>2.25</v>
      </c>
      <c r="E29" s="9" t="s">
        <v>6</v>
      </c>
      <c r="F29" s="10" t="s">
        <v>46</v>
      </c>
      <c r="G29" s="10"/>
      <c r="J29" s="11"/>
    </row>
    <row r="30" spans="1:10" ht="17.25" customHeight="1" x14ac:dyDescent="0.25">
      <c r="A30" s="17">
        <v>43188</v>
      </c>
      <c r="B30" s="14">
        <f t="shared" ref="B30" si="56">WEEKNUM(A30)</f>
        <v>13</v>
      </c>
      <c r="C30" s="23">
        <v>6</v>
      </c>
      <c r="D30" s="20">
        <f t="shared" ref="D30" si="57">C30/4</f>
        <v>1.5</v>
      </c>
      <c r="E30" s="9" t="s">
        <v>6</v>
      </c>
      <c r="F30" s="10" t="s">
        <v>47</v>
      </c>
      <c r="G30" s="10"/>
      <c r="J30" s="11"/>
    </row>
    <row r="31" spans="1:10" ht="17.25" customHeight="1" x14ac:dyDescent="0.25">
      <c r="A31" s="17">
        <v>43207</v>
      </c>
      <c r="B31" s="14">
        <f t="shared" ref="B31" si="58">WEEKNUM(A31)</f>
        <v>16</v>
      </c>
      <c r="C31" s="23">
        <v>6</v>
      </c>
      <c r="D31" s="20">
        <f t="shared" ref="D31" si="59">C31/4</f>
        <v>1.5</v>
      </c>
      <c r="E31" s="9" t="s">
        <v>7</v>
      </c>
      <c r="F31" s="10" t="s">
        <v>48</v>
      </c>
      <c r="G31" s="10"/>
      <c r="J31" s="11"/>
    </row>
    <row r="32" spans="1:10" ht="17.25" customHeight="1" x14ac:dyDescent="0.25">
      <c r="A32" s="17">
        <v>43208</v>
      </c>
      <c r="B32" s="14">
        <f t="shared" ref="B32" si="60">WEEKNUM(A32)</f>
        <v>16</v>
      </c>
      <c r="C32" s="23">
        <v>9</v>
      </c>
      <c r="D32" s="20">
        <f t="shared" ref="D32" si="61">C32/4</f>
        <v>2.25</v>
      </c>
      <c r="E32" s="9" t="s">
        <v>7</v>
      </c>
      <c r="F32" s="10" t="s">
        <v>49</v>
      </c>
      <c r="G32" s="10" t="s">
        <v>50</v>
      </c>
      <c r="J32" s="11"/>
    </row>
    <row r="33" spans="1:10" ht="17.25" customHeight="1" x14ac:dyDescent="0.25">
      <c r="A33" s="17">
        <v>43209</v>
      </c>
      <c r="B33" s="14">
        <f t="shared" ref="B33" si="62">WEEKNUM(A33)</f>
        <v>16</v>
      </c>
      <c r="C33" s="23">
        <v>6</v>
      </c>
      <c r="D33" s="20">
        <f t="shared" ref="D33" si="63">C33/4</f>
        <v>1.5</v>
      </c>
      <c r="E33" s="9" t="s">
        <v>7</v>
      </c>
      <c r="F33" s="10" t="s">
        <v>51</v>
      </c>
      <c r="G33" s="10"/>
      <c r="J33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E2:E33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2018-04-21T18:32:37Z</dcterms:modified>
</cp:coreProperties>
</file>