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2" i="1" l="1"/>
  <c r="D32" i="1"/>
  <c r="B31" i="1"/>
  <c r="D31" i="1"/>
  <c r="B30" i="1"/>
  <c r="D30" i="1"/>
  <c r="B29" i="1"/>
  <c r="D29" i="1"/>
  <c r="B28" i="1"/>
  <c r="D28" i="1"/>
  <c r="B27" i="1"/>
  <c r="D27" i="1"/>
  <c r="B26" i="1"/>
  <c r="D26" i="1"/>
  <c r="B25" i="1"/>
  <c r="D25" i="1"/>
  <c r="B24" i="1"/>
  <c r="D24" i="1"/>
  <c r="B23" i="1"/>
  <c r="D23" i="1"/>
  <c r="B22" i="1"/>
  <c r="D22" i="1"/>
  <c r="B21" i="1"/>
  <c r="D21" i="1"/>
  <c r="B20" i="1"/>
  <c r="D20" i="1"/>
  <c r="B19" i="1"/>
  <c r="D19" i="1"/>
  <c r="B18" i="1"/>
  <c r="D18" i="1"/>
  <c r="B17" i="1"/>
  <c r="D17" i="1"/>
  <c r="B16" i="1"/>
  <c r="D16" i="1"/>
  <c r="B15" i="1"/>
  <c r="D15" i="1"/>
  <c r="B14" i="1"/>
  <c r="D14" i="1"/>
  <c r="B13" i="1"/>
  <c r="D13" i="1"/>
  <c r="B12" i="1"/>
  <c r="D12" i="1"/>
  <c r="B11" i="1"/>
  <c r="D11" i="1"/>
  <c r="B10" i="1"/>
  <c r="D10" i="1"/>
  <c r="B9" i="1"/>
  <c r="D9" i="1"/>
  <c r="B8" i="1"/>
  <c r="D8" i="1"/>
  <c r="B7" i="1"/>
  <c r="D7" i="1"/>
  <c r="B6" i="1"/>
  <c r="D6" i="1"/>
  <c r="B5" i="1"/>
  <c r="D5" i="1"/>
  <c r="B4" i="1"/>
  <c r="D4" i="1"/>
  <c r="D2" i="1"/>
  <c r="B2" i="1"/>
  <c r="D3" i="1"/>
  <c r="B3" i="1"/>
</calcChain>
</file>

<file path=xl/sharedStrings.xml><?xml version="1.0" encoding="utf-8"?>
<sst xmlns="http://schemas.openxmlformats.org/spreadsheetml/2006/main" count="85" uniqueCount="51">
  <si>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</si>
  <si>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</si>
  <si>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</si>
  <si>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</si>
  <si>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</si>
  <si>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</si>
  <si>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</si>
  <si>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</si>
  <si>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</si>
  <si>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</si>
  <si>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</si>
  <si>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</si>
  <si>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</si>
  <si>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</si>
  <si>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Temps [1/4h]</t>
  </si>
  <si>
    <t>Début du projet</t>
  </si>
  <si>
    <t>Création du partage sur Google Drive, de profils sur Trello et GitHub</t>
  </si>
  <si>
    <t>Création des Uses Cases, du schéma de naviguation et des scénarios</t>
  </si>
  <si>
    <t>Mise à jour des Uses Cases, des scénarios et des maquettes</t>
  </si>
  <si>
    <t>Mise à jour des Uses Cases et scénarios</t>
  </si>
  <si>
    <t>Première finition des Uses Cases, des scénarios et des maquettes</t>
  </si>
  <si>
    <t>Il faut une confirmation pour les scénarios et les maquettes</t>
  </si>
  <si>
    <t>Apprentissage du fonctionnement de GitHub</t>
  </si>
  <si>
    <t>Ecriture des Cas d'utilisation (dans le dossier de projet)</t>
  </si>
  <si>
    <t>Création et ajout de l'arborescence du site (schéma de naviguation)</t>
  </si>
  <si>
    <t>Premier commit sur GitHub, MCD</t>
  </si>
  <si>
    <t>Modification totale des scénarios et des maquettes</t>
  </si>
  <si>
    <t>Début de mise à jour des Uses Cases et création d'un meilleur répertoire sur GitHub</t>
  </si>
  <si>
    <t>Mise à jour des scénarios (colonne particularités)</t>
  </si>
  <si>
    <t>Finition du dossier de projet</t>
  </si>
  <si>
    <t>Ecriture des journaux de travail</t>
  </si>
  <si>
    <t>Début de programmation</t>
  </si>
  <si>
    <t>Configuration de l'espace de travail</t>
  </si>
  <si>
    <t>Début de création des pages vue_appartement et vue_ajouter</t>
  </si>
  <si>
    <t>Programmation de la vue des appartments</t>
  </si>
  <si>
    <t>Démo des fonctions inscription et login</t>
  </si>
  <si>
    <t>Il nous faut corriger quelques bug : insertion avec double email, redirection vers login après inscription, l'affiche du nom/prénom après s'être log.</t>
  </si>
  <si>
    <t>Finition de l'ajout d'appartments et correction de l'afffchage du nom/prénom après connexion.</t>
  </si>
  <si>
    <t>Programmation des filtres</t>
  </si>
  <si>
    <t>pas encore fini</t>
  </si>
  <si>
    <t>Finition des filtres</t>
  </si>
  <si>
    <t>Finition de détails pour la démo</t>
  </si>
  <si>
    <t>Démo pour le sprint 2 et organisation du sprint 3</t>
  </si>
  <si>
    <t xml:space="preserve">Il faut ajouter les champs tel et naissance de profil, le double email doit être corrigé, les images pour les appartements et le filtre ville </t>
  </si>
  <si>
    <t>Répartition du travail pour le sprint 3</t>
  </si>
  <si>
    <t>Je fait : modifier, supprimer, bug double email et finition de appartement</t>
  </si>
  <si>
    <t>Début de programmation de la modification de fichier et de la sélection de ville et/ou village</t>
  </si>
  <si>
    <t>Programmation d'une fonction dans ajouter qui permet de choisir si l'on habite dans une ville/village</t>
  </si>
  <si>
    <t>Création de la fonction de modification</t>
  </si>
  <si>
    <t>Création de la fonction de suppression</t>
  </si>
  <si>
    <t>la modification et la suppression ne marchent plus vraiment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</si>
</sst>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100C]dddd\,\ d\.\ mmmm\ yyyy;@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1"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28575</xdr:rowOff>
        </xdr:from>
        <xdr:to>
          <xdr:col>5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64.650174537041" createdVersion="4" refreshedVersion="6" minRefreshableVersion="3" recordCount="1">
  <cacheSource type="worksheet">
    <worksheetSource ref="A1:E2" sheet="Journal" r:id="rId2"/>
  </cacheSource>
  <cacheFields count="5">
    <cacheField name="Jour" numFmtId="164">
      <sharedItems containsSemiMixedTypes="0" containsNonDate="0" containsDate="1" containsString="0" minDate="2018-01-01T00:00:00" maxDate="2018-03-06T00:00:00" count="14">
        <d v="2018-03-05T00:00:00"/>
        <d v="2018-02-09T00:00:00" u="1"/>
        <d v="2018-02-02T00:00:00" u="1"/>
        <d v="2018-02-12T00:00:00" u="1"/>
        <d v="2018-03-01T00:00:00" u="1"/>
        <d v="2018-02-15T00:00:00" u="1"/>
        <d v="2018-02-08T00:00:00" u="1"/>
        <d v="2018-02-27T00:00:00" u="1"/>
        <d v="2018-02-01T00:00:00" u="1"/>
        <d v="2018-02-13T00:00:00" u="1"/>
        <d v="2018-01-01T00:00:00" u="1"/>
        <d v="2018-02-06T00:00:00" u="1"/>
        <d v="2018-03-02T00:00:00" u="1"/>
        <d v="2018-02-16T00:00:00" u="1"/>
      </sharedItems>
    </cacheField>
    <cacheField name="Semaine" numFmtId="1">
      <sharedItems containsSemiMixedTypes="0" containsString="0" containsNumber="1" containsInteger="1" minValue="10" maxValue="10"/>
    </cacheField>
    <cacheField name="Temps [1/4h]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minValue="0.25" maxValue="0.25"/>
    </cacheField>
    <cacheField name="Type" numFmtId="0">
      <sharedItems count="5">
        <s v="Implémentation"/>
        <s v="Absence" u="1"/>
        <s v="Documentation" u="1"/>
        <s v="Tests" u="1"/>
        <s v="Analys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n v="10"/>
    <n v="1"/>
    <n v="0.2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C6" firstHeaderRow="1" firstDataRow="2" firstDataCol="1"/>
  <pivotFields count="5">
    <pivotField axis="axisRow" numFmtId="16" showAll="0">
      <items count="15">
        <item m="1" x="10"/>
        <item m="1" x="8"/>
        <item m="1" x="2"/>
        <item m="1" x="11"/>
        <item m="1" x="6"/>
        <item m="1" x="1"/>
        <item m="1" x="9"/>
        <item m="1" x="3"/>
        <item m="1" x="5"/>
        <item m="1" x="13"/>
        <item m="1" x="7"/>
        <item m="1" x="4"/>
        <item m="1" x="12"/>
        <item x="0"/>
        <item t="default"/>
      </items>
    </pivotField>
    <pivotField showAll="0"/>
    <pivotField numFmtId="1" showAll="0" defaultSubtotal="0"/>
    <pivotField dataField="1" showAll="0"/>
    <pivotField axis="axisCol" showAll="0">
      <items count="6">
        <item m="1" x="2"/>
        <item x="0"/>
        <item m="1" x="4"/>
        <item m="1" x="3"/>
        <item m="1" x="1"/>
        <item t="default"/>
      </items>
    </pivotField>
  </pivotFields>
  <rowFields count="1">
    <field x="0"/>
  </rowFields>
  <rowItems count="2">
    <i>
      <x v="13"/>
    </i>
    <i t="grand">
      <x/>
    </i>
  </rowItems>
  <colFields count="1">
    <field x="4"/>
  </colFields>
  <colItems count="2">
    <i>
      <x v="1"/>
    </i>
    <i t="grand">
      <x/>
    </i>
  </colItems>
  <dataFields count="1">
    <dataField name="Somme de Temps [h]" fld="3" baseField="0" baseItem="0" numFmtId="2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J32"/>
  <sheetViews>
    <sheetView tabSelected="1" topLeftCell="A16" workbookViewId="0">
      <selection activeCell="F37" sqref="F37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4" customWidth="1"/>
    <col min="4" max="4" width="13.7109375" style="21" customWidth="1"/>
    <col min="5" max="5" width="16" style="6" customWidth="1"/>
    <col min="6" max="6" width="84.85546875" style="12" bestFit="1" customWidth="1"/>
    <col min="7" max="7" width="75.140625" style="12" customWidth="1"/>
    <col min="8" max="16384" width="9.140625" style="8"/>
  </cols>
  <sheetData>
    <row r="1" spans="1:10" ht="24" customHeight="1" x14ac:dyDescent="0.25">
      <c r="A1" s="16" t="s">
        <v>2</v>
      </c>
      <c r="B1" s="13" t="s">
        <v>12</v>
      </c>
      <c r="C1" s="22" t="s">
        <v>14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x14ac:dyDescent="0.25">
      <c r="A2" s="17">
        <v>43129</v>
      </c>
      <c r="B2" s="14">
        <f t="shared" ref="B2" si="0">WEEKNUM(A2)</f>
        <v>5</v>
      </c>
      <c r="C2" s="23">
        <v>1</v>
      </c>
      <c r="D2" s="20">
        <f t="shared" ref="D2" si="1">C2/4</f>
        <v>0.25</v>
      </c>
      <c r="E2" s="9" t="s">
        <v>6</v>
      </c>
      <c r="F2" s="10" t="s">
        <v>15</v>
      </c>
      <c r="G2" s="10"/>
      <c r="J2" s="11"/>
    </row>
    <row r="3" spans="1:10" x14ac:dyDescent="0.25">
      <c r="A3" s="17">
        <v>43129</v>
      </c>
      <c r="B3" s="14">
        <f t="shared" ref="B3" si="2">WEEKNUM(A3)</f>
        <v>5</v>
      </c>
      <c r="C3" s="23">
        <v>5</v>
      </c>
      <c r="D3" s="20">
        <f t="shared" ref="D3" si="3">C3/4</f>
        <v>1.25</v>
      </c>
      <c r="E3" s="9" t="s">
        <v>9</v>
      </c>
      <c r="F3" s="10" t="s">
        <v>16</v>
      </c>
      <c r="G3" s="10"/>
      <c r="J3" s="11"/>
    </row>
    <row r="4" spans="1:10" x14ac:dyDescent="0.25">
      <c r="A4" s="17">
        <v>43130</v>
      </c>
      <c r="B4" s="14">
        <f t="shared" ref="B4" si="4">WEEKNUM(A4)</f>
        <v>5</v>
      </c>
      <c r="C4" s="23">
        <v>9</v>
      </c>
      <c r="D4" s="20">
        <f t="shared" ref="D4" si="5">C4/4</f>
        <v>2.25</v>
      </c>
      <c r="E4" s="9" t="s">
        <v>9</v>
      </c>
      <c r="F4" s="10" t="s">
        <v>17</v>
      </c>
      <c r="G4" s="10"/>
      <c r="J4" s="11"/>
    </row>
    <row r="5" spans="1:10" x14ac:dyDescent="0.25">
      <c r="A5" s="17">
        <v>43132</v>
      </c>
      <c r="B5" s="14">
        <f t="shared" ref="B5" si="6">WEEKNUM(A5)</f>
        <v>5</v>
      </c>
      <c r="C5" s="23">
        <v>6</v>
      </c>
      <c r="D5" s="20">
        <f t="shared" ref="D5" si="7">C5/4</f>
        <v>1.5</v>
      </c>
      <c r="E5" s="9" t="s">
        <v>9</v>
      </c>
      <c r="F5" s="10" t="s">
        <v>19</v>
      </c>
      <c r="G5" s="10"/>
      <c r="J5" s="11"/>
    </row>
    <row r="6" spans="1:10" x14ac:dyDescent="0.25">
      <c r="A6" s="17">
        <v>43136</v>
      </c>
      <c r="B6" s="14">
        <f t="shared" ref="B6" si="8">WEEKNUM(A6)</f>
        <v>6</v>
      </c>
      <c r="C6" s="23">
        <v>6</v>
      </c>
      <c r="D6" s="20">
        <f t="shared" ref="D6" si="9">C6/4</f>
        <v>1.5</v>
      </c>
      <c r="E6" s="9" t="s">
        <v>9</v>
      </c>
      <c r="F6" s="10" t="s">
        <v>18</v>
      </c>
      <c r="G6" s="10"/>
      <c r="J6" s="11"/>
    </row>
    <row r="7" spans="1:10" x14ac:dyDescent="0.25">
      <c r="A7" s="17">
        <v>43137</v>
      </c>
      <c r="B7" s="14">
        <f t="shared" ref="B7" si="10">WEEKNUM(A7)</f>
        <v>6</v>
      </c>
      <c r="C7" s="23">
        <v>9</v>
      </c>
      <c r="D7" s="20">
        <f t="shared" ref="D7" si="11">C7/4</f>
        <v>2.25</v>
      </c>
      <c r="E7" s="9" t="s">
        <v>9</v>
      </c>
      <c r="F7" s="10" t="s">
        <v>20</v>
      </c>
      <c r="G7" s="10" t="s">
        <v>21</v>
      </c>
      <c r="J7" s="11"/>
    </row>
    <row r="8" spans="1:10" x14ac:dyDescent="0.25">
      <c r="A8" s="17">
        <v>43139</v>
      </c>
      <c r="B8" s="14">
        <f t="shared" ref="B8" si="12">WEEKNUM(A8)</f>
        <v>6</v>
      </c>
      <c r="C8" s="23">
        <v>6</v>
      </c>
      <c r="D8" s="20">
        <f t="shared" ref="D8" si="13">C8/4</f>
        <v>1.5</v>
      </c>
      <c r="E8" s="9" t="s">
        <v>6</v>
      </c>
      <c r="F8" s="10" t="s">
        <v>22</v>
      </c>
      <c r="G8" s="10"/>
      <c r="J8" s="11"/>
    </row>
    <row r="9" spans="1:10" x14ac:dyDescent="0.25">
      <c r="A9" s="17">
        <v>43143</v>
      </c>
      <c r="B9" s="14">
        <f t="shared" ref="B9" si="14">WEEKNUM(A9)</f>
        <v>7</v>
      </c>
      <c r="C9" s="23">
        <v>6</v>
      </c>
      <c r="D9" s="20">
        <f t="shared" ref="D9" si="15">C9/4</f>
        <v>1.5</v>
      </c>
      <c r="E9" s="9" t="s">
        <v>9</v>
      </c>
      <c r="F9" s="10" t="s">
        <v>18</v>
      </c>
      <c r="G9" s="10"/>
      <c r="J9" s="11"/>
    </row>
    <row r="10" spans="1:10" x14ac:dyDescent="0.25">
      <c r="A10" s="17">
        <v>43144</v>
      </c>
      <c r="B10" s="14">
        <f t="shared" ref="B10" si="16">WEEKNUM(A10)</f>
        <v>7</v>
      </c>
      <c r="C10" s="23">
        <v>6</v>
      </c>
      <c r="D10" s="20">
        <f t="shared" ref="D10" si="17">C10/4</f>
        <v>1.5</v>
      </c>
      <c r="E10" s="9" t="s">
        <v>9</v>
      </c>
      <c r="F10" s="10" t="s">
        <v>23</v>
      </c>
      <c r="G10" s="10"/>
      <c r="J10" s="11"/>
    </row>
    <row r="11" spans="1:10" x14ac:dyDescent="0.25">
      <c r="A11" s="17">
        <v>43144</v>
      </c>
      <c r="B11" s="14">
        <f t="shared" ref="B11" si="18">WEEKNUM(A11)</f>
        <v>7</v>
      </c>
      <c r="C11" s="23">
        <v>3</v>
      </c>
      <c r="D11" s="20">
        <f t="shared" ref="D11" si="19">C11/4</f>
        <v>0.75</v>
      </c>
      <c r="E11" s="9" t="s">
        <v>9</v>
      </c>
      <c r="F11" s="10" t="s">
        <v>24</v>
      </c>
      <c r="G11" s="10"/>
      <c r="J11" s="11"/>
    </row>
    <row r="12" spans="1:10" x14ac:dyDescent="0.25">
      <c r="A12" s="17">
        <v>43146</v>
      </c>
      <c r="B12" s="14">
        <f t="shared" ref="B12" si="20">WEEKNUM(A12)</f>
        <v>7</v>
      </c>
      <c r="C12" s="23">
        <v>6</v>
      </c>
      <c r="D12" s="20">
        <f t="shared" ref="D12" si="21">C12/4</f>
        <v>1.5</v>
      </c>
      <c r="E12" s="9" t="s">
        <v>9</v>
      </c>
      <c r="F12" s="10" t="s">
        <v>25</v>
      </c>
      <c r="G12" s="10"/>
      <c r="J12" s="11"/>
    </row>
    <row r="13" spans="1:10" x14ac:dyDescent="0.25">
      <c r="A13" s="17">
        <v>43158</v>
      </c>
      <c r="B13" s="14">
        <f t="shared" ref="B13" si="22">WEEKNUM(A13)</f>
        <v>9</v>
      </c>
      <c r="C13" s="23">
        <v>9</v>
      </c>
      <c r="D13" s="20">
        <f t="shared" ref="D13" si="23">C13/4</f>
        <v>2.25</v>
      </c>
      <c r="E13" s="9" t="s">
        <v>9</v>
      </c>
      <c r="F13" s="10" t="s">
        <v>26</v>
      </c>
      <c r="G13" s="10"/>
      <c r="J13" s="11"/>
    </row>
    <row r="14" spans="1:10" x14ac:dyDescent="0.25">
      <c r="A14" s="17">
        <v>43160</v>
      </c>
      <c r="B14" s="14">
        <f t="shared" ref="B14" si="24">WEEKNUM(A14)</f>
        <v>9</v>
      </c>
      <c r="C14" s="23">
        <v>6</v>
      </c>
      <c r="D14" s="20">
        <f t="shared" ref="D14" si="25">C14/4</f>
        <v>1.5</v>
      </c>
      <c r="E14" s="9" t="s">
        <v>9</v>
      </c>
      <c r="F14" s="10" t="s">
        <v>27</v>
      </c>
      <c r="G14" s="10"/>
      <c r="J14" s="11"/>
    </row>
    <row r="15" spans="1:10" x14ac:dyDescent="0.25">
      <c r="A15" s="17">
        <v>43164</v>
      </c>
      <c r="B15" s="14">
        <f t="shared" ref="B15" si="26">WEEKNUM(A15)</f>
        <v>10</v>
      </c>
      <c r="C15" s="23">
        <v>6</v>
      </c>
      <c r="D15" s="20">
        <f t="shared" ref="D15" si="27">C15/4</f>
        <v>1.5</v>
      </c>
      <c r="E15" s="9" t="s">
        <v>9</v>
      </c>
      <c r="F15" s="10" t="s">
        <v>28</v>
      </c>
      <c r="G15" s="10"/>
      <c r="J15" s="11"/>
    </row>
    <row r="16" spans="1:10" x14ac:dyDescent="0.25">
      <c r="A16" s="17">
        <v>43165</v>
      </c>
      <c r="B16" s="14">
        <f t="shared" ref="B16" si="28">WEEKNUM(A16)</f>
        <v>10</v>
      </c>
      <c r="C16" s="23">
        <v>9</v>
      </c>
      <c r="D16" s="20">
        <f t="shared" ref="D16" si="29">C16/4</f>
        <v>2.25</v>
      </c>
      <c r="E16" s="9" t="s">
        <v>9</v>
      </c>
      <c r="F16" s="10" t="s">
        <v>29</v>
      </c>
      <c r="G16" s="10"/>
      <c r="J16" s="11"/>
    </row>
    <row r="17" spans="1:10" x14ac:dyDescent="0.25">
      <c r="A17" s="17">
        <v>43167</v>
      </c>
      <c r="B17" s="14">
        <f t="shared" ref="B17" si="30">WEEKNUM(A17)</f>
        <v>10</v>
      </c>
      <c r="C17" s="23">
        <v>6</v>
      </c>
      <c r="D17" s="20">
        <f t="shared" ref="D17" si="31">C17/4</f>
        <v>1.5</v>
      </c>
      <c r="E17" s="9" t="s">
        <v>9</v>
      </c>
      <c r="F17" s="10" t="s">
        <v>30</v>
      </c>
      <c r="G17" s="10"/>
      <c r="J17" s="11"/>
    </row>
    <row r="18" spans="1:10" x14ac:dyDescent="0.25">
      <c r="A18" s="17">
        <v>43171</v>
      </c>
      <c r="B18" s="14">
        <f t="shared" ref="B18" si="32">WEEKNUM(A18)</f>
        <v>11</v>
      </c>
      <c r="C18" s="23">
        <v>3</v>
      </c>
      <c r="D18" s="20">
        <f t="shared" ref="D18" si="33">C18/4</f>
        <v>0.75</v>
      </c>
      <c r="E18" s="9" t="s">
        <v>7</v>
      </c>
      <c r="F18" s="10" t="s">
        <v>31</v>
      </c>
      <c r="G18" s="10"/>
      <c r="J18" s="11"/>
    </row>
    <row r="19" spans="1:10" x14ac:dyDescent="0.25">
      <c r="A19" s="17">
        <v>43171</v>
      </c>
      <c r="B19" s="14">
        <f t="shared" ref="B19" si="34">WEEKNUM(A19)</f>
        <v>11</v>
      </c>
      <c r="C19" s="23">
        <v>3</v>
      </c>
      <c r="D19" s="20">
        <f t="shared" ref="D19" si="35">C19/4</f>
        <v>0.75</v>
      </c>
      <c r="E19" s="9" t="s">
        <v>7</v>
      </c>
      <c r="F19" s="10" t="s">
        <v>32</v>
      </c>
      <c r="G19" s="10"/>
      <c r="J19" s="11"/>
    </row>
    <row r="20" spans="1:10" x14ac:dyDescent="0.25">
      <c r="A20" s="17">
        <v>43172</v>
      </c>
      <c r="B20" s="14">
        <f t="shared" ref="B20" si="36">WEEKNUM(A20)</f>
        <v>11</v>
      </c>
      <c r="C20" s="23">
        <v>9</v>
      </c>
      <c r="D20" s="20">
        <f t="shared" ref="D20" si="37">C20/4</f>
        <v>2.25</v>
      </c>
      <c r="E20" s="9" t="s">
        <v>7</v>
      </c>
      <c r="F20" s="10" t="s">
        <v>33</v>
      </c>
      <c r="G20" s="10"/>
      <c r="J20" s="11"/>
    </row>
    <row r="21" spans="1:10" x14ac:dyDescent="0.25">
      <c r="A21" s="17">
        <v>43174</v>
      </c>
      <c r="B21" s="14">
        <f t="shared" ref="B21" si="38">WEEKNUM(A21)</f>
        <v>11</v>
      </c>
      <c r="C21" s="23">
        <v>6</v>
      </c>
      <c r="D21" s="20">
        <f t="shared" ref="D21" si="39">C21/4</f>
        <v>1.5</v>
      </c>
      <c r="E21" s="9" t="s">
        <v>7</v>
      </c>
      <c r="F21" s="10" t="s">
        <v>34</v>
      </c>
      <c r="G21" s="10"/>
      <c r="J21" s="11"/>
    </row>
    <row r="22" spans="1:10" ht="30" x14ac:dyDescent="0.25">
      <c r="A22" s="17">
        <v>43178</v>
      </c>
      <c r="B22" s="14">
        <f t="shared" ref="B22" si="40">WEEKNUM(A22)</f>
        <v>12</v>
      </c>
      <c r="C22" s="23">
        <v>7</v>
      </c>
      <c r="D22" s="20">
        <f t="shared" ref="D22" si="41">C22/4</f>
        <v>1.75</v>
      </c>
      <c r="E22" s="9" t="s">
        <v>6</v>
      </c>
      <c r="F22" s="10" t="s">
        <v>35</v>
      </c>
      <c r="G22" s="10" t="s">
        <v>36</v>
      </c>
      <c r="J22" s="11"/>
    </row>
    <row r="23" spans="1:10" ht="12.75" customHeight="1" x14ac:dyDescent="0.25">
      <c r="A23" s="17">
        <v>43179</v>
      </c>
      <c r="B23" s="14">
        <f t="shared" ref="B23" si="42">WEEKNUM(A23)</f>
        <v>12</v>
      </c>
      <c r="C23" s="23">
        <v>9</v>
      </c>
      <c r="D23" s="20">
        <f t="shared" ref="D23" si="43">C23/4</f>
        <v>2.25</v>
      </c>
      <c r="E23" s="9" t="s">
        <v>7</v>
      </c>
      <c r="F23" s="10" t="s">
        <v>37</v>
      </c>
      <c r="G23" s="10"/>
      <c r="J23" s="11"/>
    </row>
    <row r="24" spans="1:10" ht="17.25" customHeight="1" x14ac:dyDescent="0.25">
      <c r="A24" s="17">
        <v>43181</v>
      </c>
      <c r="B24" s="14">
        <f t="shared" ref="B24" si="44">WEEKNUM(A24)</f>
        <v>12</v>
      </c>
      <c r="C24" s="23">
        <v>6</v>
      </c>
      <c r="D24" s="20">
        <f t="shared" ref="D24" si="45">C24/4</f>
        <v>1.5</v>
      </c>
      <c r="E24" s="9" t="s">
        <v>7</v>
      </c>
      <c r="F24" s="10" t="s">
        <v>38</v>
      </c>
      <c r="G24" s="10" t="s">
        <v>39</v>
      </c>
      <c r="J24" s="11"/>
    </row>
    <row r="25" spans="1:10" ht="17.25" customHeight="1" x14ac:dyDescent="0.25">
      <c r="A25" s="17">
        <v>43184</v>
      </c>
      <c r="B25" s="14">
        <f t="shared" ref="B25" si="46">WEEKNUM(A25)</f>
        <v>13</v>
      </c>
      <c r="C25" s="23">
        <v>3</v>
      </c>
      <c r="D25" s="20">
        <f t="shared" ref="D25" si="47">C25/4</f>
        <v>0.75</v>
      </c>
      <c r="E25" s="9" t="s">
        <v>7</v>
      </c>
      <c r="F25" s="10" t="s">
        <v>40</v>
      </c>
      <c r="G25" s="10"/>
      <c r="J25" s="11"/>
    </row>
    <row r="26" spans="1:10" ht="17.25" customHeight="1" x14ac:dyDescent="0.25">
      <c r="A26" s="17">
        <v>43185</v>
      </c>
      <c r="B26" s="14">
        <f t="shared" ref="B26" si="48">WEEKNUM(A26)</f>
        <v>13</v>
      </c>
      <c r="C26" s="23">
        <v>3</v>
      </c>
      <c r="D26" s="20">
        <f t="shared" ref="D26" si="49">C26/4</f>
        <v>0.75</v>
      </c>
      <c r="E26" s="9" t="s">
        <v>7</v>
      </c>
      <c r="F26" s="10" t="s">
        <v>41</v>
      </c>
      <c r="G26" s="10"/>
      <c r="J26" s="11"/>
    </row>
    <row r="27" spans="1:10" ht="17.25" customHeight="1" x14ac:dyDescent="0.25">
      <c r="A27" s="17">
        <v>43185</v>
      </c>
      <c r="B27" s="14">
        <f t="shared" ref="B27" si="50">WEEKNUM(A27)</f>
        <v>13</v>
      </c>
      <c r="C27" s="23">
        <v>2</v>
      </c>
      <c r="D27" s="20">
        <f t="shared" ref="D27" si="51">C27/4</f>
        <v>0.5</v>
      </c>
      <c r="E27" s="9" t="s">
        <v>6</v>
      </c>
      <c r="F27" s="10" t="s">
        <v>42</v>
      </c>
      <c r="G27" s="10" t="s">
        <v>43</v>
      </c>
      <c r="J27" s="11"/>
    </row>
    <row r="28" spans="1:10" ht="17.25" customHeight="1" x14ac:dyDescent="0.25">
      <c r="A28" s="17">
        <v>43185</v>
      </c>
      <c r="B28" s="14">
        <f t="shared" ref="B28" si="52">WEEKNUM(A28)</f>
        <v>13</v>
      </c>
      <c r="C28" s="23">
        <v>1</v>
      </c>
      <c r="D28" s="20">
        <f t="shared" ref="D28" si="53">C28/4</f>
        <v>0.25</v>
      </c>
      <c r="E28" s="9" t="s">
        <v>6</v>
      </c>
      <c r="F28" s="10" t="s">
        <v>44</v>
      </c>
      <c r="G28" s="10" t="s">
        <v>45</v>
      </c>
      <c r="J28" s="11"/>
    </row>
    <row r="29" spans="1:10" ht="17.25" customHeight="1" x14ac:dyDescent="0.25">
      <c r="A29" s="17">
        <v>43186</v>
      </c>
      <c r="B29" s="14">
        <f t="shared" ref="B29" si="54">WEEKNUM(A29)</f>
        <v>13</v>
      </c>
      <c r="C29" s="23">
        <v>9</v>
      </c>
      <c r="D29" s="20">
        <f t="shared" ref="D29" si="55">C29/4</f>
        <v>2.25</v>
      </c>
      <c r="E29" s="9" t="s">
        <v>6</v>
      </c>
      <c r="F29" s="10" t="s">
        <v>46</v>
      </c>
      <c r="G29" s="10"/>
      <c r="J29" s="11"/>
    </row>
    <row r="30" spans="1:10" ht="17.25" customHeight="1" x14ac:dyDescent="0.25">
      <c r="A30" s="17">
        <v>43188</v>
      </c>
      <c r="B30" s="14">
        <f t="shared" ref="B30" si="56">WEEKNUM(A30)</f>
        <v>13</v>
      </c>
      <c r="C30" s="23">
        <v>6</v>
      </c>
      <c r="D30" s="20">
        <f t="shared" ref="D30" si="57">C30/4</f>
        <v>1.5</v>
      </c>
      <c r="E30" s="9" t="s">
        <v>6</v>
      </c>
      <c r="F30" s="10" t="s">
        <v>47</v>
      </c>
      <c r="G30" s="10"/>
      <c r="J30" s="11"/>
    </row>
    <row r="31" spans="1:10" ht="17.25" customHeight="1" x14ac:dyDescent="0.25">
      <c r="A31" s="17">
        <v>43207</v>
      </c>
      <c r="B31" s="14">
        <f t="shared" ref="B31" si="58">WEEKNUM(A31)</f>
        <v>16</v>
      </c>
      <c r="C31" s="23">
        <v>6</v>
      </c>
      <c r="D31" s="20">
        <f t="shared" ref="D31" si="59">C31/4</f>
        <v>1.5</v>
      </c>
      <c r="E31" s="9" t="s">
        <v>7</v>
      </c>
      <c r="F31" s="10" t="s">
        <v>48</v>
      </c>
      <c r="G31" s="10"/>
      <c r="J31" s="11"/>
    </row>
    <row r="32" spans="1:10" ht="17.25" customHeight="1" x14ac:dyDescent="0.25">
      <c r="A32" s="17">
        <v>43208</v>
      </c>
      <c r="B32" s="14">
        <f t="shared" ref="B32" si="60">WEEKNUM(A32)</f>
        <v>16</v>
      </c>
      <c r="C32" s="23">
        <v>9</v>
      </c>
      <c r="D32" s="20">
        <f t="shared" ref="D32" si="61">C32/4</f>
        <v>2.25</v>
      </c>
      <c r="E32" s="9" t="s">
        <v>7</v>
      </c>
      <c r="F32" s="10" t="s">
        <v>49</v>
      </c>
      <c r="G32" s="10" t="s">
        <v>50</v>
      </c>
      <c r="J32" s="11"/>
    </row>
  </sheetData>
  <sheetProtection selectLockedCells="1"/>
  <sortState ref="A2:G35">
    <sortCondition descending="1" ref="A2:A35"/>
  </sortState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5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E2:E32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B8" sqref="B8"/>
    </sheetView>
  </sheetViews>
  <sheetFormatPr baseColWidth="10" defaultRowHeight="15" x14ac:dyDescent="0.25"/>
  <cols>
    <col min="1" max="1" width="19.85546875" bestFit="1" customWidth="1"/>
    <col min="2" max="2" width="15.42578125" bestFit="1" customWidth="1"/>
    <col min="3" max="3" width="12.5703125" customWidth="1"/>
    <col min="4" max="4" width="7" bestFit="1" customWidth="1"/>
    <col min="5" max="5" width="7.42578125" bestFit="1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13</v>
      </c>
    </row>
    <row r="4" spans="1:3" x14ac:dyDescent="0.25">
      <c r="B4" t="s">
        <v>7</v>
      </c>
      <c r="C4" t="s">
        <v>11</v>
      </c>
    </row>
    <row r="5" spans="1:3" x14ac:dyDescent="0.25">
      <c r="A5" s="4">
        <v>43164</v>
      </c>
      <c r="B5" s="25">
        <v>0.25</v>
      </c>
      <c r="C5" s="25">
        <v>0.25</v>
      </c>
    </row>
    <row r="6" spans="1:3" x14ac:dyDescent="0.25">
      <c r="A6" s="4" t="s">
        <v>11</v>
      </c>
      <c r="B6" s="25">
        <v>0.25</v>
      </c>
      <c r="C6" s="25">
        <v>0.25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A2" sqref="A2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2018-04-17T09:55:20Z</dcterms:modified>
</cp:coreProperties>
</file>